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栅衍射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 wrapText="1"/>
    </xf>
    <xf numFmtId="164" fontId="0" fillId="0" borderId="1" pivotButton="0" quotePrefix="0" xfId="0"/>
    <xf numFmtId="164" fontId="2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《光栅衍射》数据处理表（按记录单整理）</t>
        </is>
      </c>
    </row>
    <row r="2">
      <c r="A2" s="2" t="inlineStr">
        <is>
          <t>原始角度观测值</t>
        </is>
      </c>
    </row>
    <row r="3" ht="32" customHeight="1">
      <c r="A3" s="3" t="inlineStr">
        <is>
          <t>测量次数</t>
        </is>
      </c>
      <c r="B3" s="3" t="inlineStr">
        <is>
          <t>k=-1 黄左</t>
        </is>
      </c>
      <c r="C3" s="3" t="inlineStr">
        <is>
          <t>k=-1 黄右</t>
        </is>
      </c>
      <c r="D3" s="3" t="inlineStr">
        <is>
          <t>k=-1 绿左</t>
        </is>
      </c>
      <c r="E3" s="3" t="inlineStr">
        <is>
          <t>k=-1 绿右</t>
        </is>
      </c>
      <c r="F3" s="3" t="inlineStr">
        <is>
          <t>k=1 绿左</t>
        </is>
      </c>
      <c r="G3" s="3" t="inlineStr">
        <is>
          <t>k=1 绿右</t>
        </is>
      </c>
      <c r="H3" s="3" t="inlineStr">
        <is>
          <t>k=1 黄左</t>
        </is>
      </c>
      <c r="I3" s="3" t="inlineStr">
        <is>
          <t>k=1 黄右</t>
        </is>
      </c>
    </row>
    <row r="4">
      <c r="A4" s="4" t="n">
        <v>1</v>
      </c>
      <c r="B4" s="4" t="inlineStr">
        <is>
          <t>322°06′</t>
        </is>
      </c>
      <c r="C4" s="4" t="inlineStr">
        <is>
          <t>142°24′</t>
        </is>
      </c>
      <c r="D4" s="4" t="inlineStr">
        <is>
          <t>321°35′</t>
        </is>
      </c>
      <c r="E4" s="4" t="inlineStr">
        <is>
          <t>141°33′</t>
        </is>
      </c>
      <c r="F4" s="4" t="inlineStr">
        <is>
          <t>302°45′</t>
        </is>
      </c>
      <c r="G4" s="4" t="inlineStr">
        <is>
          <t>122°40′</t>
        </is>
      </c>
      <c r="H4" s="4" t="inlineStr">
        <is>
          <t>302°19′</t>
        </is>
      </c>
      <c r="I4" s="4" t="inlineStr">
        <is>
          <t>122°10′</t>
        </is>
      </c>
    </row>
    <row r="5">
      <c r="A5" s="4" t="n">
        <v>2</v>
      </c>
      <c r="B5" s="4" t="inlineStr">
        <is>
          <t>322°25′</t>
        </is>
      </c>
      <c r="C5" s="4" t="inlineStr">
        <is>
          <t>142°24′</t>
        </is>
      </c>
      <c r="D5" s="4" t="inlineStr">
        <is>
          <t>321°36′</t>
        </is>
      </c>
      <c r="E5" s="4" t="inlineStr">
        <is>
          <t>141°30′</t>
        </is>
      </c>
      <c r="F5" s="4" t="inlineStr">
        <is>
          <t>302°44′</t>
        </is>
      </c>
      <c r="G5" s="4" t="inlineStr">
        <is>
          <t>122°41′</t>
        </is>
      </c>
      <c r="H5" s="4" t="inlineStr">
        <is>
          <t>302°15′</t>
        </is>
      </c>
      <c r="I5" s="4" t="inlineStr">
        <is>
          <t>122°10′</t>
        </is>
      </c>
    </row>
    <row r="6">
      <c r="A6" s="4" t="n">
        <v>3</v>
      </c>
      <c r="B6" s="4" t="inlineStr">
        <is>
          <t>322°08′</t>
        </is>
      </c>
      <c r="C6" s="4" t="inlineStr">
        <is>
          <t>142°24′</t>
        </is>
      </c>
      <c r="D6" s="4" t="inlineStr">
        <is>
          <t>321°36′</t>
        </is>
      </c>
      <c r="E6" s="4" t="inlineStr">
        <is>
          <t>141°32′</t>
        </is>
      </c>
      <c r="F6" s="4" t="inlineStr">
        <is>
          <t>302°45′</t>
        </is>
      </c>
      <c r="G6" s="4" t="inlineStr">
        <is>
          <t>122°40′</t>
        </is>
      </c>
      <c r="H6" s="4" t="inlineStr">
        <is>
          <t>302°18′</t>
        </is>
      </c>
      <c r="I6" s="4" t="inlineStr">
        <is>
          <t>122°11′</t>
        </is>
      </c>
    </row>
    <row r="7">
      <c r="A7" s="4" t="n">
        <v>4</v>
      </c>
      <c r="B7" s="4" t="inlineStr">
        <is>
          <t>322°07′</t>
        </is>
      </c>
      <c r="C7" s="4" t="inlineStr">
        <is>
          <t>142°21′</t>
        </is>
      </c>
      <c r="D7" s="4" t="inlineStr">
        <is>
          <t>321°34′</t>
        </is>
      </c>
      <c r="E7" s="4" t="inlineStr">
        <is>
          <t>141°31′</t>
        </is>
      </c>
      <c r="F7" s="4" t="inlineStr">
        <is>
          <t>302°43′</t>
        </is>
      </c>
      <c r="G7" s="4" t="inlineStr">
        <is>
          <t>122°42′</t>
        </is>
      </c>
      <c r="H7" s="4" t="inlineStr">
        <is>
          <t>302°14′</t>
        </is>
      </c>
      <c r="I7" s="4" t="inlineStr">
        <is>
          <t>122°13′</t>
        </is>
      </c>
    </row>
    <row r="8">
      <c r="A8" s="4" t="n">
        <v>5</v>
      </c>
      <c r="B8" s="4" t="inlineStr">
        <is>
          <t>322°05′</t>
        </is>
      </c>
      <c r="C8" s="4" t="inlineStr">
        <is>
          <t>142°24′</t>
        </is>
      </c>
      <c r="D8" s="4" t="inlineStr">
        <is>
          <t>321°35′</t>
        </is>
      </c>
      <c r="E8" s="4" t="inlineStr">
        <is>
          <t>141°30′</t>
        </is>
      </c>
      <c r="F8" s="4" t="inlineStr">
        <is>
          <t>302°46′</t>
        </is>
      </c>
      <c r="G8" s="4" t="inlineStr">
        <is>
          <t>122°40′</t>
        </is>
      </c>
      <c r="H8" s="4" t="inlineStr">
        <is>
          <t>302°18′</t>
        </is>
      </c>
      <c r="I8" s="4" t="inlineStr">
        <is>
          <t>122°12′</t>
        </is>
      </c>
    </row>
    <row r="9">
      <c r="A9" s="5" t="inlineStr">
        <is>
          <t>平均值</t>
        </is>
      </c>
      <c r="B9" s="6" t="inlineStr">
        <is>
          <t>322°10′</t>
        </is>
      </c>
      <c r="C9" s="6" t="inlineStr">
        <is>
          <t>142°23′</t>
        </is>
      </c>
      <c r="D9" s="6" t="inlineStr">
        <is>
          <t>321°35′</t>
        </is>
      </c>
      <c r="E9" s="6" t="inlineStr">
        <is>
          <t>141°31′</t>
        </is>
      </c>
      <c r="F9" s="6" t="inlineStr">
        <is>
          <t>302°45′</t>
        </is>
      </c>
      <c r="G9" s="6" t="inlineStr">
        <is>
          <t>122°41′</t>
        </is>
      </c>
      <c r="H9" s="6" t="inlineStr">
        <is>
          <t>302°17′</t>
        </is>
      </c>
      <c r="I9" s="6" t="inlineStr">
        <is>
          <t>122°11′</t>
        </is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6" t="inlineStr">
        <is>
          <t>角度十进制度（°）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32" customHeight="1">
      <c r="A12" s="8" t="inlineStr">
        <is>
          <t>测量次数</t>
        </is>
      </c>
      <c r="B12" s="8" t="inlineStr">
        <is>
          <t>k=-1 黄左</t>
        </is>
      </c>
      <c r="C12" s="8" t="inlineStr">
        <is>
          <t>k=-1 黄右</t>
        </is>
      </c>
      <c r="D12" s="8" t="inlineStr">
        <is>
          <t>k=-1 绿左</t>
        </is>
      </c>
      <c r="E12" s="8" t="inlineStr">
        <is>
          <t>k=-1 绿右</t>
        </is>
      </c>
      <c r="F12" s="8" t="inlineStr">
        <is>
          <t>k=1 绿左</t>
        </is>
      </c>
      <c r="G12" s="8" t="inlineStr">
        <is>
          <t>k=1 绿右</t>
        </is>
      </c>
      <c r="H12" s="8" t="inlineStr">
        <is>
          <t>k=1 黄左</t>
        </is>
      </c>
      <c r="I12" s="8" t="inlineStr">
        <is>
          <t>k=1 黄右</t>
        </is>
      </c>
    </row>
    <row r="13">
      <c r="A13" s="7" t="n">
        <v>1</v>
      </c>
      <c r="B13" s="9" t="n">
        <v>322.1</v>
      </c>
      <c r="C13" s="9" t="n">
        <v>142.4</v>
      </c>
      <c r="D13" s="9" t="n">
        <v>321.583333</v>
      </c>
      <c r="E13" s="9" t="n">
        <v>141.55</v>
      </c>
      <c r="F13" s="9" t="n">
        <v>302.75</v>
      </c>
      <c r="G13" s="9" t="n">
        <v>122.666667</v>
      </c>
      <c r="H13" s="9" t="n">
        <v>302.316667</v>
      </c>
      <c r="I13" s="9" t="n">
        <v>122.166667</v>
      </c>
    </row>
    <row r="14">
      <c r="A14" s="7" t="n">
        <v>2</v>
      </c>
      <c r="B14" s="9" t="n">
        <v>322.416667</v>
      </c>
      <c r="C14" s="9" t="n">
        <v>142.4</v>
      </c>
      <c r="D14" s="9" t="n">
        <v>321.6</v>
      </c>
      <c r="E14" s="9" t="n">
        <v>141.5</v>
      </c>
      <c r="F14" s="9" t="n">
        <v>302.733333</v>
      </c>
      <c r="G14" s="9" t="n">
        <v>122.683333</v>
      </c>
      <c r="H14" s="9" t="n">
        <v>302.25</v>
      </c>
      <c r="I14" s="9" t="n">
        <v>122.166667</v>
      </c>
    </row>
    <row r="15">
      <c r="A15" s="7" t="n">
        <v>3</v>
      </c>
      <c r="B15" s="9" t="n">
        <v>322.133333</v>
      </c>
      <c r="C15" s="9" t="n">
        <v>142.4</v>
      </c>
      <c r="D15" s="9" t="n">
        <v>321.6</v>
      </c>
      <c r="E15" s="9" t="n">
        <v>141.533333</v>
      </c>
      <c r="F15" s="9" t="n">
        <v>302.75</v>
      </c>
      <c r="G15" s="9" t="n">
        <v>122.666667</v>
      </c>
      <c r="H15" s="9" t="n">
        <v>302.3</v>
      </c>
      <c r="I15" s="9" t="n">
        <v>122.183333</v>
      </c>
    </row>
    <row r="16">
      <c r="A16" s="7" t="n">
        <v>4</v>
      </c>
      <c r="B16" s="9" t="n">
        <v>322.116667</v>
      </c>
      <c r="C16" s="9" t="n">
        <v>142.35</v>
      </c>
      <c r="D16" s="9" t="n">
        <v>321.566667</v>
      </c>
      <c r="E16" s="9" t="n">
        <v>141.516667</v>
      </c>
      <c r="F16" s="9" t="n">
        <v>302.716667</v>
      </c>
      <c r="G16" s="9" t="n">
        <v>122.7</v>
      </c>
      <c r="H16" s="9" t="n">
        <v>302.233333</v>
      </c>
      <c r="I16" s="9" t="n">
        <v>122.216667</v>
      </c>
    </row>
    <row r="17">
      <c r="A17" s="7" t="n">
        <v>5</v>
      </c>
      <c r="B17" s="9" t="n">
        <v>322.083333</v>
      </c>
      <c r="C17" s="9" t="n">
        <v>142.4</v>
      </c>
      <c r="D17" s="9" t="n">
        <v>321.583333</v>
      </c>
      <c r="E17" s="9" t="n">
        <v>141.5</v>
      </c>
      <c r="F17" s="9" t="n">
        <v>302.766667</v>
      </c>
      <c r="G17" s="9" t="n">
        <v>122.666667</v>
      </c>
      <c r="H17" s="9" t="n">
        <v>302.3</v>
      </c>
      <c r="I17" s="9" t="n">
        <v>122.2</v>
      </c>
    </row>
    <row r="18">
      <c r="A18" s="5" t="inlineStr">
        <is>
          <t>平均值</t>
        </is>
      </c>
      <c r="B18" s="10">
        <f>AVERAGE(B13:B17)</f>
        <v/>
      </c>
      <c r="C18" s="10">
        <f>AVERAGE(C13:C17)</f>
        <v/>
      </c>
      <c r="D18" s="10">
        <f>AVERAGE(D13:D17)</f>
        <v/>
      </c>
      <c r="E18" s="10">
        <f>AVERAGE(E13:E17)</f>
        <v/>
      </c>
      <c r="F18" s="10">
        <f>AVERAGE(F13:F17)</f>
        <v/>
      </c>
      <c r="G18" s="10">
        <f>AVERAGE(G13:G17)</f>
        <v/>
      </c>
      <c r="H18" s="10">
        <f>AVERAGE(H13:H17)</f>
        <v/>
      </c>
      <c r="I18" s="10">
        <f>AVERAGE(I13:I17)</f>
        <v/>
      </c>
    </row>
    <row r="20">
      <c r="A20" s="11" t="inlineStr">
        <is>
          <t>说明</t>
        </is>
      </c>
      <c r="B20" s="12" t="inlineStr">
        <is>
          <t>数据来源：记录单.pdf；角度按手写记录转录，保留原始观测值与平均值。</t>
        </is>
      </c>
    </row>
  </sheetData>
  <mergeCells count="4">
    <mergeCell ref="A1:I1"/>
    <mergeCell ref="B20:I20"/>
    <mergeCell ref="A2:I2"/>
    <mergeCell ref="A11:I1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2026-10-09T10:19:24Z</dcterms:created>
  <dcterms:modified xmlns:dcterms="http://purl.org/dc/terms/" xmlns:xsi="http://www.w3.org/2001/XMLSchema-instance" xsi:type="dcterms:W3CDTF">2026-10-09T10:19:24Z</dcterms:modified>
</cp:coreProperties>
</file>