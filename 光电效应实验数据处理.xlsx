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-I数据处理" sheetId="1" state="visible" r:id="rId1"/>
    <sheet xmlns:r="http://schemas.openxmlformats.org/officeDocument/2006/relationships" name="Φ-I数据处理" sheetId="2" state="visible" r:id="rId2"/>
    <sheet xmlns:r="http://schemas.openxmlformats.org/officeDocument/2006/relationships" name="L-I数据处理" sheetId="3" state="visible" r:id="rId3"/>
  </sheets>
  <definedNames>
    <definedName name="_xlnm.Print_Area" localSheetId="0">'U-I数据处理'!$A$1:$L$40</definedName>
    <definedName name="_xlnm.Print_Area" localSheetId="1">'Φ-I数据处理'!$A$1:$L$40</definedName>
    <definedName name="_xlnm.Print_Area" localSheetId="2">'L-I数据处理'!$A$1:$L$40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U-I</a:t>
            </a:r>
          </a:p>
        </rich>
      </tx>
    </title>
    <plotArea>
      <scatterChart>
        <ser>
          <idx val="0"/>
          <order val="0"/>
          <tx>
            <v>U-I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'U-I数据处理'!$A$5:$A$11</f>
            </numRef>
          </xVal>
          <yVal>
            <numRef>
              <f>'U-I数据处理'!$B$5:$B$11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I（×10⁻¹¹ A）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U（V）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Φ-I</a:t>
            </a:r>
          </a:p>
        </rich>
      </tx>
    </title>
    <plotArea>
      <scatterChart>
        <ser>
          <idx val="0"/>
          <order val="0"/>
          <tx>
            <v>Φ-I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'Φ-I数据处理'!$A$5:$A$7</f>
            </numRef>
          </xVal>
          <yVal>
            <numRef>
              <f>'Φ-I数据处理'!$B$5:$B$7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I（×10⁻¹⁰ A）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Φ（mm）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L-I</a:t>
            </a:r>
          </a:p>
        </rich>
      </tx>
    </title>
    <plotArea>
      <scatterChart>
        <ser>
          <idx val="0"/>
          <order val="0"/>
          <tx>
            <v>L-I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'L-I数据处理'!$A$5:$A$7</f>
            </numRef>
          </xVal>
          <yVal>
            <numRef>
              <f>'L-I数据处理'!$B$5:$B$7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I（×10⁻¹⁰ A）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L（mm）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5" customWidth="1" min="6" max="6"/>
    <col width="36" customWidth="1" min="7" max="7"/>
  </cols>
  <sheetData>
    <row r="1">
      <c r="A1" s="1" t="inlineStr">
        <is>
          <t>光电效应实验：U-I 数据处理表</t>
        </is>
      </c>
    </row>
    <row r="2">
      <c r="A2" t="inlineStr">
        <is>
          <t>λ=365.0 nm；L=400 mm；Φ=4 mm</t>
        </is>
      </c>
    </row>
    <row r="3"/>
    <row r="4">
      <c r="A4" s="2" t="inlineStr">
        <is>
          <t>I（×10⁻¹¹ A）</t>
        </is>
      </c>
      <c r="B4" s="2" t="inlineStr">
        <is>
          <t>U（V）</t>
        </is>
      </c>
      <c r="C4" s="2" t="inlineStr">
        <is>
          <t>拟合值</t>
        </is>
      </c>
      <c r="D4" s="2" t="inlineStr">
        <is>
          <t>残差</t>
        </is>
      </c>
    </row>
    <row r="5">
      <c r="A5" s="3" t="n">
        <v>66</v>
      </c>
      <c r="B5" s="3" t="n">
        <v>0</v>
      </c>
      <c r="C5" s="3">
        <f>$G$5*A5+$G$6</f>
        <v/>
      </c>
      <c r="D5" s="3">
        <f>B5-C5</f>
        <v/>
      </c>
      <c r="F5" t="inlineStr">
        <is>
          <t>斜率 k</t>
        </is>
      </c>
      <c r="G5">
        <f>SLOPE(B5:B11,A5:A11)</f>
        <v/>
      </c>
    </row>
    <row r="6">
      <c r="A6" s="3" t="n">
        <v>374</v>
      </c>
      <c r="B6" s="3" t="n">
        <v>5</v>
      </c>
      <c r="C6" s="3">
        <f>$G$5*A6+$G$6</f>
        <v/>
      </c>
      <c r="D6" s="3">
        <f>B6-C6</f>
        <v/>
      </c>
      <c r="F6" t="inlineStr">
        <is>
          <t>截距 b</t>
        </is>
      </c>
      <c r="G6">
        <f>INTERCEPT(B5:B11,A5:A11)</f>
        <v/>
      </c>
    </row>
    <row r="7">
      <c r="A7" s="3" t="n">
        <v>502</v>
      </c>
      <c r="B7" s="3" t="n">
        <v>10</v>
      </c>
      <c r="C7" s="3">
        <f>$G$5*A7+$G$6</f>
        <v/>
      </c>
      <c r="D7" s="3">
        <f>B7-C7</f>
        <v/>
      </c>
      <c r="F7" t="inlineStr">
        <is>
          <t>决定系数 R²</t>
        </is>
      </c>
      <c r="G7">
        <f>RSQ(B5:B11,A5:A11)</f>
        <v/>
      </c>
    </row>
    <row r="8">
      <c r="A8" s="3" t="n">
        <v>686</v>
      </c>
      <c r="B8" s="3" t="n">
        <v>20</v>
      </c>
      <c r="C8" s="3">
        <f>$G$5*A8+$G$6</f>
        <v/>
      </c>
      <c r="D8" s="3">
        <f>B8-C8</f>
        <v/>
      </c>
    </row>
    <row r="9">
      <c r="A9" s="3" t="n">
        <v>815</v>
      </c>
      <c r="B9" s="3" t="n">
        <v>30</v>
      </c>
      <c r="C9" s="3">
        <f>$G$5*A9+$G$6</f>
        <v/>
      </c>
      <c r="D9" s="3">
        <f>B9-C9</f>
        <v/>
      </c>
      <c r="F9" t="inlineStr">
        <is>
          <t>拟合方程（y 对 x）</t>
        </is>
      </c>
      <c r="G9" t="inlineStr">
        <is>
          <t>y = 0.054622x -11.473321</t>
        </is>
      </c>
    </row>
    <row r="10">
      <c r="A10" s="3" t="n">
        <v>899</v>
      </c>
      <c r="B10" s="3" t="n">
        <v>40</v>
      </c>
      <c r="C10" s="3">
        <f>$G$5*A10+$G$6</f>
        <v/>
      </c>
      <c r="D10" s="3">
        <f>B10-C10</f>
        <v/>
      </c>
      <c r="F10" t="inlineStr">
        <is>
          <t>R²（核算值）</t>
        </is>
      </c>
      <c r="G10" t="n">
        <v>0.8855165283197522</v>
      </c>
    </row>
    <row r="11">
      <c r="A11" s="3" t="n">
        <v>966</v>
      </c>
      <c r="B11" s="3" t="n">
        <v>50</v>
      </c>
      <c r="C11" s="3">
        <f>$G$5*A11+$G$6</f>
        <v/>
      </c>
      <c r="D11" s="3">
        <f>B11-C11</f>
        <v/>
      </c>
    </row>
    <row r="12">
      <c r="A12" t="inlineStr">
        <is>
          <t>说明：按示例以电流为横轴进行线性拟合；拟合反映本组数据的线性程度。</t>
        </is>
      </c>
    </row>
  </sheetData>
  <mergeCells count="1">
    <mergeCell ref="A1:F1"/>
  </mergeCells>
  <pageMargins left="0.75" right="0.75" top="1" bottom="1" header="0.5" footer="0.5"/>
  <pageSetup orientation="landscape" paperSize="8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5" customWidth="1" min="6" max="6"/>
    <col width="36" customWidth="1" min="7" max="7"/>
  </cols>
  <sheetData>
    <row r="1">
      <c r="A1" s="1" t="inlineStr">
        <is>
          <t>光电效应实验：Φ-I 数据处理表</t>
        </is>
      </c>
    </row>
    <row r="2">
      <c r="A2" t="inlineStr">
        <is>
          <t>λ=365.0 nm；L=400 mm；U=10 V</t>
        </is>
      </c>
    </row>
    <row r="3"/>
    <row r="4">
      <c r="A4" s="2" t="inlineStr">
        <is>
          <t>I（×10⁻¹⁰ A）</t>
        </is>
      </c>
      <c r="B4" s="2" t="inlineStr">
        <is>
          <t>Φ（mm）</t>
        </is>
      </c>
      <c r="C4" s="2" t="inlineStr">
        <is>
          <t>拟合值</t>
        </is>
      </c>
      <c r="D4" s="2" t="inlineStr">
        <is>
          <t>残差</t>
        </is>
      </c>
    </row>
    <row r="5">
      <c r="A5" s="3" t="n">
        <v>14.2</v>
      </c>
      <c r="B5" s="3" t="n">
        <v>2</v>
      </c>
      <c r="C5" s="3">
        <f>$G$5*A5+$G$6</f>
        <v/>
      </c>
      <c r="D5" s="3">
        <f>B5-C5</f>
        <v/>
      </c>
      <c r="F5" t="inlineStr">
        <is>
          <t>斜率 k</t>
        </is>
      </c>
      <c r="G5">
        <f>SLOPE(B5:B7,A5:A7)</f>
        <v/>
      </c>
    </row>
    <row r="6">
      <c r="A6" s="3" t="n">
        <v>50.3</v>
      </c>
      <c r="B6" s="3" t="n">
        <v>4</v>
      </c>
      <c r="C6" s="3">
        <f>$G$5*A6+$G$6</f>
        <v/>
      </c>
      <c r="D6" s="3">
        <f>B6-C6</f>
        <v/>
      </c>
      <c r="F6" t="inlineStr">
        <is>
          <t>截距 b</t>
        </is>
      </c>
      <c r="G6">
        <f>INTERCEPT(B5:B7,A5:A7)</f>
        <v/>
      </c>
    </row>
    <row r="7">
      <c r="A7" s="3" t="n">
        <v>182.7</v>
      </c>
      <c r="B7" s="3" t="n">
        <v>8</v>
      </c>
      <c r="C7" s="3">
        <f>$G$5*A7+$G$6</f>
        <v/>
      </c>
      <c r="D7" s="3">
        <f>B7-C7</f>
        <v/>
      </c>
      <c r="F7" t="inlineStr">
        <is>
          <t>决定系数 R²</t>
        </is>
      </c>
      <c r="G7">
        <f>RSQ(B5:B7,A5:A7)</f>
        <v/>
      </c>
    </row>
    <row r="9">
      <c r="F9" t="inlineStr">
        <is>
          <t>拟合方程（y 对 x）</t>
        </is>
      </c>
      <c r="G9" t="inlineStr">
        <is>
          <t>y = 0.034151x +1.852604</t>
        </is>
      </c>
    </row>
    <row r="10">
      <c r="F10" t="inlineStr">
        <is>
          <t>R²（核算值）</t>
        </is>
      </c>
      <c r="G10" t="n">
        <v>0.9835558203858024</v>
      </c>
    </row>
    <row r="12">
      <c r="A12" t="inlineStr">
        <is>
          <t>说明：按示例以电流为横轴进行线性拟合；拟合反映本组数据的线性程度。</t>
        </is>
      </c>
    </row>
  </sheetData>
  <mergeCells count="1">
    <mergeCell ref="A1:F1"/>
  </mergeCells>
  <pageMargins left="0.75" right="0.75" top="1" bottom="1" header="0.5" footer="0.5"/>
  <pageSetup orientation="landscape" paperSize="8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5" customWidth="1" min="6" max="6"/>
    <col width="36" customWidth="1" min="7" max="7"/>
  </cols>
  <sheetData>
    <row r="1">
      <c r="A1" s="1" t="inlineStr">
        <is>
          <t>光电效应实验：L-I 数据处理表</t>
        </is>
      </c>
    </row>
    <row r="2">
      <c r="A2" t="inlineStr">
        <is>
          <t>λ=365.0 nm；Φ=4 mm；U=10 V</t>
        </is>
      </c>
    </row>
    <row r="3"/>
    <row r="4">
      <c r="A4" s="2" t="inlineStr">
        <is>
          <t>I（×10⁻¹⁰ A）</t>
        </is>
      </c>
      <c r="B4" s="2" t="inlineStr">
        <is>
          <t>L（mm）</t>
        </is>
      </c>
      <c r="C4" s="2" t="inlineStr">
        <is>
          <t>拟合值</t>
        </is>
      </c>
      <c r="D4" s="2" t="inlineStr">
        <is>
          <t>残差</t>
        </is>
      </c>
    </row>
    <row r="5">
      <c r="A5" s="3" t="n">
        <v>70.3</v>
      </c>
      <c r="B5" s="3" t="n">
        <v>350</v>
      </c>
      <c r="C5" s="3">
        <f>$G$5*A5+$G$6</f>
        <v/>
      </c>
      <c r="D5" s="3">
        <f>B5-C5</f>
        <v/>
      </c>
      <c r="F5" t="inlineStr">
        <is>
          <t>斜率 k</t>
        </is>
      </c>
      <c r="G5">
        <f>SLOPE(B5:B7,A5:A7)</f>
        <v/>
      </c>
    </row>
    <row r="6">
      <c r="A6" s="3" t="n">
        <v>48.8</v>
      </c>
      <c r="B6" s="3" t="n">
        <v>400</v>
      </c>
      <c r="C6" s="3">
        <f>$G$5*A6+$G$6</f>
        <v/>
      </c>
      <c r="D6" s="3">
        <f>B6-C6</f>
        <v/>
      </c>
      <c r="F6" t="inlineStr">
        <is>
          <t>截距 b</t>
        </is>
      </c>
      <c r="G6">
        <f>INTERCEPT(B5:B7,A5:A7)</f>
        <v/>
      </c>
    </row>
    <row r="7">
      <c r="A7" s="3" t="n">
        <v>36.2</v>
      </c>
      <c r="B7" s="3" t="n">
        <v>450</v>
      </c>
      <c r="C7" s="3">
        <f>$G$5*A7+$G$6</f>
        <v/>
      </c>
      <c r="D7" s="3">
        <f>B7-C7</f>
        <v/>
      </c>
      <c r="F7" t="inlineStr">
        <is>
          <t>决定系数 R²</t>
        </is>
      </c>
      <c r="G7">
        <f>RSQ(B5:B7,A5:A7)</f>
        <v/>
      </c>
    </row>
    <row r="9">
      <c r="F9" t="inlineStr">
        <is>
          <t>拟合方程（y 对 x）</t>
        </is>
      </c>
      <c r="G9" t="inlineStr">
        <is>
          <t>y = -2.867442x +548.437903</t>
        </is>
      </c>
    </row>
    <row r="10">
      <c r="F10" t="inlineStr">
        <is>
          <t>R²（核算值）</t>
        </is>
      </c>
      <c r="G10" t="n">
        <v>0.9777976477447275</v>
      </c>
    </row>
    <row r="12">
      <c r="A12" t="inlineStr">
        <is>
          <t>说明：按示例以电流为横轴进行线性拟合；拟合反映本组数据的线性程度。</t>
        </is>
      </c>
    </row>
  </sheetData>
  <mergeCells count="1">
    <mergeCell ref="A1:F1"/>
  </mergeCells>
  <pageMargins left="0.75" right="0.75" top="1" bottom="1" header="0.5" footer="0.5"/>
  <pageSetup orientation="landscape" paperSize="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2026-10-15T12:50:52Z</dcterms:created>
  <dcterms:modified xmlns:dcterms="http://purl.org/dc/terms/" xmlns:xsi="http://www.w3.org/2001/XMLSchema-instance" xsi:type="dcterms:W3CDTF">2026-10-15T12:50:52Z</dcterms:modified>
</cp:coreProperties>
</file>