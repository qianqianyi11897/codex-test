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处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2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超声探伤及特性综合实验——数据处理表</t>
        </is>
      </c>
    </row>
    <row r="2">
      <c r="A2" s="2" t="inlineStr">
        <is>
          <t>班级</t>
        </is>
      </c>
      <c r="B2" s="2" t="inlineStr">
        <is>
          <t>无人机2507</t>
        </is>
      </c>
      <c r="C2" s="2" t="inlineStr">
        <is>
          <t>学号</t>
        </is>
      </c>
      <c r="D2" s="2" t="inlineStr">
        <is>
          <t>2021127085</t>
        </is>
      </c>
      <c r="E2" s="2" t="inlineStr">
        <is>
          <t>姓名</t>
        </is>
      </c>
      <c r="F2" s="2" t="inlineStr">
        <is>
          <t>孙应倩</t>
        </is>
      </c>
      <c r="G2" s="2" t="inlineStr">
        <is>
          <t>教师</t>
        </is>
      </c>
      <c r="H2" s="2" t="inlineStr">
        <is>
          <t>史悦</t>
        </is>
      </c>
    </row>
    <row r="4">
      <c r="A4" s="1" t="inlineStr">
        <is>
          <t>实验一：基础测量（直探头、斜探头延迟时间和试块声速）</t>
        </is>
      </c>
    </row>
    <row r="5">
      <c r="A5" s="3" t="inlineStr">
        <is>
          <t>测量量</t>
        </is>
      </c>
      <c r="B5" s="3" t="inlineStr">
        <is>
          <t>直探头1</t>
        </is>
      </c>
      <c r="C5" s="3" t="inlineStr">
        <is>
          <t>直探头2</t>
        </is>
      </c>
      <c r="D5" s="3" t="inlineStr">
        <is>
          <t>直探头3</t>
        </is>
      </c>
      <c r="E5" s="3" t="inlineStr">
        <is>
          <t>直探头平均</t>
        </is>
      </c>
      <c r="F5" s="3" t="inlineStr">
        <is>
          <t>斜探头1</t>
        </is>
      </c>
      <c r="G5" s="3" t="inlineStr">
        <is>
          <t>斜探头2</t>
        </is>
      </c>
      <c r="H5" s="3" t="inlineStr">
        <is>
          <t>斜探头3</t>
        </is>
      </c>
      <c r="I5" s="3" t="inlineStr">
        <is>
          <t>斜探头平均</t>
        </is>
      </c>
    </row>
    <row r="6">
      <c r="A6" s="3" t="inlineStr">
        <is>
          <t>t1 (μs)</t>
        </is>
      </c>
      <c r="B6" s="3" t="n">
        <v>19.5</v>
      </c>
      <c r="C6" s="3" t="n">
        <v>19.6</v>
      </c>
      <c r="D6" s="3" t="n">
        <v>19.6</v>
      </c>
      <c r="E6" s="3">
        <f>AVERAGE(B6:D6)</f>
        <v/>
      </c>
      <c r="F6" s="3" t="n">
        <v>24.1</v>
      </c>
      <c r="G6" s="3" t="n">
        <v>24.6</v>
      </c>
      <c r="H6" s="3" t="n">
        <v>25.6</v>
      </c>
      <c r="I6" s="3">
        <f>AVERAGE(F6:H6)</f>
        <v/>
      </c>
    </row>
    <row r="7">
      <c r="A7" s="3" t="inlineStr">
        <is>
          <t>t2 (μs)</t>
        </is>
      </c>
      <c r="B7" s="3" t="n">
        <v>38.8</v>
      </c>
      <c r="C7" s="3" t="n">
        <v>38.6</v>
      </c>
      <c r="D7" s="3" t="n">
        <v>38.5</v>
      </c>
      <c r="E7" s="3">
        <f>AVERAGE(B7:D7)</f>
        <v/>
      </c>
      <c r="F7" s="3" t="n">
        <v>41.5</v>
      </c>
      <c r="G7" s="3" t="n">
        <v>44.5</v>
      </c>
      <c r="H7" s="3" t="n">
        <v>47</v>
      </c>
      <c r="I7" s="3">
        <f>AVERAGE(F7:H7)</f>
        <v/>
      </c>
    </row>
    <row r="9">
      <c r="A9" t="inlineStr">
        <is>
          <t>直探头延迟 t0=t2-t1 (μs)</t>
        </is>
      </c>
      <c r="B9">
        <f>E7-E6</f>
        <v/>
      </c>
      <c r="D9" t="inlineStr">
        <is>
          <t>直探头声速 cL=2L/(t2-t1) (m/s)</t>
        </is>
      </c>
      <c r="E9" t="n">
        <v>6297.6</v>
      </c>
      <c r="F9" t="inlineStr">
        <is>
          <t>斜探头延迟 (μs)</t>
        </is>
      </c>
      <c r="G9">
        <f>I7-I6</f>
        <v/>
      </c>
      <c r="H9" t="inlineStr">
        <is>
          <t>斜探头声速 cS (m/s)</t>
        </is>
      </c>
      <c r="I9" t="n">
        <v>310.3</v>
      </c>
    </row>
    <row r="11">
      <c r="A11" s="1" t="inlineStr">
        <is>
          <t>实验一：脉冲调制波频率和波长</t>
        </is>
      </c>
    </row>
    <row r="12">
      <c r="A12" s="4" t="inlineStr">
        <is>
          <t>测量量</t>
        </is>
      </c>
      <c r="B12" s="4" t="inlineStr">
        <is>
          <t>直探头1</t>
        </is>
      </c>
      <c r="C12" s="4" t="inlineStr">
        <is>
          <t>直探头2</t>
        </is>
      </c>
      <c r="D12" s="4" t="inlineStr">
        <is>
          <t>直探头3</t>
        </is>
      </c>
      <c r="E12" s="4" t="inlineStr">
        <is>
          <t>直探头平均</t>
        </is>
      </c>
      <c r="F12" s="4" t="inlineStr">
        <is>
          <t>斜探头1</t>
        </is>
      </c>
      <c r="G12" s="4" t="inlineStr">
        <is>
          <t>斜探头2</t>
        </is>
      </c>
      <c r="H12" s="4" t="inlineStr">
        <is>
          <t>斜探头3</t>
        </is>
      </c>
      <c r="I12" s="4" t="inlineStr">
        <is>
          <t>斜探头平均</t>
        </is>
      </c>
    </row>
    <row r="13">
      <c r="A13" s="4" t="inlineStr">
        <is>
          <t>t (μs)</t>
        </is>
      </c>
      <c r="B13" s="4" t="n">
        <v>1.82</v>
      </c>
      <c r="C13" s="4" t="n">
        <v>1.816</v>
      </c>
      <c r="D13" s="4" t="n">
        <v>1.81</v>
      </c>
      <c r="E13" s="4">
        <f>AVERAGE(B13:D13)</f>
        <v/>
      </c>
      <c r="F13" s="4" t="n">
        <v>1.5</v>
      </c>
      <c r="G13" s="4" t="n">
        <v>1.48</v>
      </c>
      <c r="H13" s="4" t="n">
        <v>1.5</v>
      </c>
      <c r="I13" s="4">
        <f>AVERAGE(F13:H13)</f>
        <v/>
      </c>
    </row>
    <row r="15">
      <c r="A15" t="inlineStr">
        <is>
          <t>纵波频率 f=4/t (MHz)</t>
        </is>
      </c>
      <c r="B15">
        <f>4/E13</f>
        <v/>
      </c>
      <c r="D15" t="inlineStr">
        <is>
          <t>纵波波长 λ=cL/f (mm)</t>
        </is>
      </c>
      <c r="E15">
        <f>B9/B15</f>
        <v/>
      </c>
      <c r="F15" t="inlineStr">
        <is>
          <t>横波频率 f=4/t (MHz)</t>
        </is>
      </c>
      <c r="G15">
        <f>4/I13</f>
        <v/>
      </c>
      <c r="H15" t="inlineStr">
        <is>
          <t>横波波长 λ=cS/f (mm)</t>
        </is>
      </c>
      <c r="I15">
        <f>I9/G15</f>
        <v/>
      </c>
    </row>
    <row r="17">
      <c r="A17" s="1" t="inlineStr">
        <is>
          <t>实验二：固体弹性常数的测量</t>
        </is>
      </c>
    </row>
    <row r="18">
      <c r="A18" s="3" t="inlineStr">
        <is>
          <t>测量量</t>
        </is>
      </c>
      <c r="B18" s="3" t="inlineStr">
        <is>
          <t>1</t>
        </is>
      </c>
      <c r="C18" s="3" t="inlineStr">
        <is>
          <t>2</t>
        </is>
      </c>
      <c r="D18" s="3" t="inlineStr">
        <is>
          <t>3</t>
        </is>
      </c>
      <c r="E18" s="3" t="inlineStr">
        <is>
          <t>平均值</t>
        </is>
      </c>
      <c r="F18" s="3" t="inlineStr">
        <is>
          <t>结果/说明</t>
        </is>
      </c>
      <c r="G18" s="3" t="inlineStr"/>
      <c r="H18" s="3" t="inlineStr"/>
      <c r="I18" s="3" t="inlineStr"/>
    </row>
    <row r="19">
      <c r="A19" s="3" t="inlineStr">
        <is>
          <t>L (mm)</t>
        </is>
      </c>
      <c r="B19" s="3" t="n">
        <v>44.9</v>
      </c>
      <c r="C19" s="3" t="n">
        <v>45.1</v>
      </c>
      <c r="D19" s="3" t="n">
        <v>45</v>
      </c>
      <c r="E19" s="3">
        <f>AVERAGE(B19:D19)</f>
        <v/>
      </c>
      <c r="F19" s="3" t="inlineStr">
        <is>
          <t>前沿距离 L0=R2-L (mm)</t>
        </is>
      </c>
      <c r="G19" s="3" t="n"/>
      <c r="H19" s="3" t="n"/>
      <c r="I19" s="3" t="n"/>
    </row>
    <row r="20">
      <c r="A20" s="3" t="inlineStr">
        <is>
          <t>L0 (mm)</t>
        </is>
      </c>
      <c r="B20" s="3" t="n">
        <v>15</v>
      </c>
      <c r="C20" s="3" t="n">
        <v>14.9</v>
      </c>
      <c r="D20" s="3" t="n">
        <v>15</v>
      </c>
      <c r="E20" s="3">
        <f>AVERAGE(B20:D20)</f>
        <v/>
      </c>
      <c r="F20" s="3" t="inlineStr">
        <is>
          <t>c钢=2730 m/s</t>
        </is>
      </c>
      <c r="G20" s="3" t="n"/>
      <c r="H20" s="3" t="n"/>
      <c r="I20" s="3" t="n"/>
    </row>
    <row r="22">
      <c r="A22" s="4" t="inlineStr">
        <is>
          <t>测量量</t>
        </is>
      </c>
      <c r="B22" s="4" t="inlineStr">
        <is>
          <t>1</t>
        </is>
      </c>
      <c r="C22" s="4" t="inlineStr">
        <is>
          <t>2</t>
        </is>
      </c>
      <c r="D22" s="4" t="inlineStr">
        <is>
          <t>3</t>
        </is>
      </c>
      <c r="E22" s="4" t="inlineStr">
        <is>
          <t>平均值</t>
        </is>
      </c>
      <c r="F22" s="4" t="inlineStr">
        <is>
          <t>结果/说明</t>
        </is>
      </c>
      <c r="G22" s="4" t="inlineStr"/>
      <c r="H22" s="4" t="inlineStr"/>
      <c r="I22" s="4" t="inlineStr"/>
    </row>
    <row r="23">
      <c r="A23" s="4" t="inlineStr">
        <is>
          <t>xA (mm)</t>
        </is>
      </c>
      <c r="B23" s="4" t="n">
        <v>28.9</v>
      </c>
      <c r="C23" s="4" t="n">
        <v>27.6</v>
      </c>
      <c r="D23" s="4" t="n">
        <v>27.6</v>
      </c>
      <c r="E23" s="4">
        <f>AVERAGE(B23:D23)</f>
        <v/>
      </c>
      <c r="F23" s="4" t="inlineStr">
        <is>
          <t>xB (mm)</t>
        </is>
      </c>
      <c r="G23" s="4" t="n">
        <v>82</v>
      </c>
      <c r="H23" s="4" t="n">
        <v>82</v>
      </c>
      <c r="I23" s="4">
        <f>AVERAGE(G23:I23)</f>
        <v/>
      </c>
    </row>
    <row r="25">
      <c r="A25" t="inlineStr">
        <is>
          <t>斜探头折射角 βs (°)</t>
        </is>
      </c>
      <c r="B25" t="n">
        <v>40.1</v>
      </c>
      <c r="D25" t="inlineStr">
        <is>
          <t>入射角 α (°)</t>
        </is>
      </c>
      <c r="E25" t="n">
        <v>42.2</v>
      </c>
      <c r="F25" t="inlineStr">
        <is>
          <t>第一临界角 α1 (°)</t>
        </is>
      </c>
      <c r="G25" t="n">
        <v>24.8</v>
      </c>
      <c r="H25" t="inlineStr">
        <is>
          <t>第二临界角 α2 (°)</t>
        </is>
      </c>
      <c r="I25" t="n">
        <v>67.59999999999999</v>
      </c>
    </row>
    <row r="27">
      <c r="A27" t="inlineStr">
        <is>
          <t>杨氏模量 E (×10⁹ Pa)</t>
        </is>
      </c>
      <c r="B27" t="n">
        <v>69.3</v>
      </c>
      <c r="D27" t="inlineStr">
        <is>
          <t>泊松系数 σ</t>
        </is>
      </c>
      <c r="E27" t="n">
        <v>0.3</v>
      </c>
    </row>
    <row r="29">
      <c r="A29" s="1" t="inlineStr">
        <is>
          <t>实验三：超声波探伤</t>
        </is>
      </c>
    </row>
    <row r="31">
      <c r="A31" s="5" t="inlineStr">
        <is>
          <t>直探头：t1 (μs)</t>
        </is>
      </c>
      <c r="B31" s="5" t="n">
        <v>16</v>
      </c>
    </row>
    <row r="32">
      <c r="A32" s="5" t="inlineStr">
        <is>
          <t>直探头：t2 (μs)</t>
        </is>
      </c>
      <c r="B32" s="5" t="n">
        <v>16.2</v>
      </c>
    </row>
    <row r="33">
      <c r="A33" s="5" t="inlineStr">
        <is>
          <t>缺陷孔距试块孔距 Hc (mm)</t>
        </is>
      </c>
      <c r="B33" s="5" t="n">
        <v>10</v>
      </c>
    </row>
    <row r="34">
      <c r="A34" s="5" t="inlineStr">
        <is>
          <t>斜探头 xA (mm)</t>
        </is>
      </c>
      <c r="B34" s="5" t="n">
        <v>78.09999999999999</v>
      </c>
    </row>
    <row r="35">
      <c r="A35" s="5" t="inlineStr">
        <is>
          <t>斜探头 xB (mm)</t>
        </is>
      </c>
      <c r="B35" s="5" t="n">
        <v>35.8</v>
      </c>
    </row>
    <row r="36">
      <c r="A36" s="5" t="inlineStr">
        <is>
          <t>斜探头 xD (mm)</t>
        </is>
      </c>
      <c r="B36" s="5" t="n">
        <v>84</v>
      </c>
    </row>
    <row r="37">
      <c r="A37" s="5" t="inlineStr">
        <is>
          <t>tA (μs)</t>
        </is>
      </c>
      <c r="B37" s="5" t="n">
        <v>23</v>
      </c>
    </row>
    <row r="38">
      <c r="A38" s="5" t="inlineStr">
        <is>
          <t>tB (μs)</t>
        </is>
      </c>
      <c r="B38" s="5" t="n">
        <v>54.3</v>
      </c>
    </row>
    <row r="39">
      <c r="A39" s="5" t="inlineStr">
        <is>
          <t>tD (μs)</t>
        </is>
      </c>
      <c r="B39" s="5" t="n">
        <v>48.4</v>
      </c>
    </row>
    <row r="40">
      <c r="A40" s="5" t="inlineStr">
        <is>
          <t>S=xB-xA-LAB (mm)</t>
        </is>
      </c>
      <c r="B40" s="5" t="n">
        <v>2.2</v>
      </c>
    </row>
    <row r="41">
      <c r="A41" s="5" t="inlineStr">
        <is>
          <t>H=HB-HA (mm)</t>
        </is>
      </c>
      <c r="B41" s="5" t="n">
        <v>10</v>
      </c>
    </row>
    <row r="42">
      <c r="A42" s="5" t="inlineStr">
        <is>
          <t>折射角 β (°)</t>
        </is>
      </c>
      <c r="B42" s="5" t="n">
        <v>74.5</v>
      </c>
    </row>
    <row r="43">
      <c r="A43" s="5" t="inlineStr">
        <is>
          <t>声速 c (m/s)</t>
        </is>
      </c>
      <c r="B43" s="5" t="n">
        <v>3720</v>
      </c>
    </row>
    <row r="44">
      <c r="A44" s="5" t="inlineStr">
        <is>
          <t>延迟 t0 (μs)</t>
        </is>
      </c>
      <c r="B44" s="5" t="n">
        <v>7.8</v>
      </c>
    </row>
    <row r="45">
      <c r="A45" s="5" t="inlineStr">
        <is>
          <t>前沿距离 L0 (mm)</t>
        </is>
      </c>
      <c r="B45" s="5" t="n">
        <v>68.8</v>
      </c>
    </row>
    <row r="46">
      <c r="A46" s="5" t="inlineStr">
        <is>
          <t>D孔深度 HD (mm)</t>
        </is>
      </c>
      <c r="B46" s="5" t="n">
        <v>15.7</v>
      </c>
    </row>
    <row r="47">
      <c r="A47" s="5" t="inlineStr">
        <is>
          <t>D孔边沿水平距离 LD (mm)</t>
        </is>
      </c>
      <c r="B47" s="5" t="n">
        <v>10.69</v>
      </c>
    </row>
  </sheetData>
  <mergeCells count="5">
    <mergeCell ref="A29:I29"/>
    <mergeCell ref="A4:H4"/>
    <mergeCell ref="A11:I11"/>
    <mergeCell ref="A17:I17"/>
    <mergeCell ref="A1:H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2026-10-09T15:38:29Z</dcterms:created>
  <dcterms:modified xmlns:dcterms="http://purl.org/dc/terms/" xmlns:xsi="http://www.w3.org/2001/XMLSchema-instance" xsi:type="dcterms:W3CDTF">2026-10-09T15:38:29Z</dcterms:modified>
</cp:coreProperties>
</file>